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789557AC-4961-4502-A2EF-49910589166F}" xr6:coauthVersionLast="47" xr6:coauthVersionMax="47" xr10:uidLastSave="{00000000-0000-0000-0000-000000000000}"/>
  <bookViews>
    <workbookView xWindow="-13005" yWindow="-16320" windowWidth="29040" windowHeight="15840" xr2:uid="{00000000-000D-0000-FFFF-FFFF00000000}"/>
  </bookViews>
  <sheets>
    <sheet name="Feuil1" sheetId="1" r:id="rId1"/>
  </sheets>
  <definedNames>
    <definedName name="Print_Area" localSheetId="0">Feuil1!$A$1:$H$30</definedName>
    <definedName name="_xlnm.Print_Area" localSheetId="0">Feuil1!$A$1:$H$32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H15" i="1" s="1"/>
  <c r="G15" i="1"/>
  <c r="C15" i="1"/>
  <c r="C16" i="1"/>
  <c r="I16" i="1" l="1"/>
  <c r="J16" i="1" l="1"/>
  <c r="G24" i="1"/>
  <c r="G13" i="1"/>
  <c r="F20" i="1" l="1"/>
  <c r="F27" i="1"/>
  <c r="D27" i="1"/>
  <c r="B27" i="1"/>
  <c r="B20" i="1"/>
  <c r="D20" i="1"/>
  <c r="J26" i="1"/>
  <c r="J25" i="1"/>
  <c r="J24" i="1"/>
  <c r="G25" i="1"/>
  <c r="G26" i="1"/>
  <c r="E24" i="1"/>
  <c r="E25" i="1"/>
  <c r="E26" i="1"/>
  <c r="J22" i="1"/>
  <c r="J21" i="1"/>
  <c r="K20" i="1"/>
  <c r="J19" i="1"/>
  <c r="G19" i="1"/>
  <c r="E19" i="1"/>
  <c r="K18" i="1"/>
  <c r="L18" i="1" s="1"/>
  <c r="J18" i="1"/>
  <c r="G18" i="1"/>
  <c r="E18" i="1"/>
  <c r="G16" i="1"/>
  <c r="E16" i="1"/>
  <c r="J17" i="1"/>
  <c r="G17" i="1"/>
  <c r="E17" i="1"/>
  <c r="J14" i="1"/>
  <c r="G14" i="1"/>
  <c r="E14" i="1"/>
  <c r="J13" i="1"/>
  <c r="E13" i="1"/>
  <c r="J12" i="1"/>
  <c r="J23" i="1"/>
  <c r="J28" i="1"/>
  <c r="J29" i="1"/>
  <c r="J30" i="1"/>
  <c r="C26" i="1"/>
  <c r="K27" i="1"/>
  <c r="H20" i="1" l="1"/>
  <c r="G21" i="1"/>
  <c r="E21" i="1"/>
  <c r="J20" i="1"/>
  <c r="C25" i="1"/>
  <c r="H25" i="1" s="1"/>
  <c r="C24" i="1"/>
  <c r="H24" i="1"/>
  <c r="H26" i="1"/>
  <c r="C13" i="1"/>
  <c r="H16" i="1"/>
  <c r="I14" i="1" s="1"/>
  <c r="C14" i="1"/>
  <c r="H14" i="1" s="1"/>
  <c r="C19" i="1"/>
  <c r="H19" i="1" s="1"/>
  <c r="C17" i="1"/>
  <c r="H17" i="1" s="1"/>
  <c r="C18" i="1"/>
  <c r="H18" i="1" s="1"/>
  <c r="H13" i="1" l="1"/>
  <c r="C21" i="1"/>
  <c r="H21" i="1" s="1"/>
  <c r="H22" i="1" s="1"/>
  <c r="H27" i="1"/>
  <c r="J27" i="1" l="1"/>
  <c r="E28" i="1" l="1"/>
  <c r="G28" i="1"/>
  <c r="C28" i="1"/>
  <c r="H28" i="1" l="1"/>
  <c r="H29" i="1" l="1"/>
  <c r="C30" i="1" s="1"/>
  <c r="B30" i="1"/>
  <c r="N30" i="1" s="1"/>
  <c r="D31" i="1" l="1"/>
  <c r="J31" i="1" s="1"/>
  <c r="B36" i="1"/>
</calcChain>
</file>

<file path=xl/sharedStrings.xml><?xml version="1.0" encoding="utf-8"?>
<sst xmlns="http://schemas.openxmlformats.org/spreadsheetml/2006/main" count="38" uniqueCount="34">
  <si>
    <t>PROPOSITION DE PRESTATIONS</t>
  </si>
  <si>
    <t>TOTAL</t>
  </si>
  <si>
    <t>en € HT</t>
  </si>
  <si>
    <t>Réunion de lancement des travaux + sensibilisation</t>
  </si>
  <si>
    <t>Plan de contrôles (avec contrôles inopinés) et check-list des contrôles</t>
  </si>
  <si>
    <t>Tableau de bord de restitution (établissement + mise à jour)</t>
  </si>
  <si>
    <t>Rapport final</t>
  </si>
  <si>
    <t>Coût total Mission 2 (€ H.T.)</t>
  </si>
  <si>
    <t>Coût total Mission 1 (€ H.T.)</t>
  </si>
  <si>
    <t>TOTAL T.T.C. Mission 1</t>
  </si>
  <si>
    <t>TOTAL T.T.C. Mission 2</t>
  </si>
  <si>
    <t>€ H.T.</t>
  </si>
  <si>
    <t>€ T.T.C</t>
  </si>
  <si>
    <t>Coût Total Marché subséquent</t>
  </si>
  <si>
    <t xml:space="preserve"> </t>
  </si>
  <si>
    <t>Visas sur les documents entreprise (SOGED, PAE, etc.)</t>
  </si>
  <si>
    <t>2 visites par mois</t>
  </si>
  <si>
    <t>visites</t>
  </si>
  <si>
    <t>Chef de projet</t>
  </si>
  <si>
    <t xml:space="preserve">Ingénieur d'affaire </t>
  </si>
  <si>
    <t>Jour</t>
  </si>
  <si>
    <t>* Chiffrage réalisé sur la base d'une visite par mois, pour un chantier dont la durée est estimée à 8 mois</t>
  </si>
  <si>
    <t>Temps total Mission 1 ( Jour)</t>
  </si>
  <si>
    <t>Participation à la mise en place de l’organisation des déchets</t>
  </si>
  <si>
    <t>Avis sur le contrôle prévu par la maîtrise d’œuvre concernant la gestion des déchets</t>
  </si>
  <si>
    <t>Bilan de chantier spécifique déchet</t>
  </si>
  <si>
    <t>Date : 22/12/23</t>
  </si>
  <si>
    <t>Directeur de projet</t>
  </si>
  <si>
    <t>Mission 1: Suivi environnemental des travaux</t>
  </si>
  <si>
    <t>Mission 2: Prévention et gestion des déchets de chantier</t>
  </si>
  <si>
    <t>Temps total Mission 2 (Jour)</t>
  </si>
  <si>
    <t>4 mois</t>
  </si>
  <si>
    <t>Visite de chantier pendant les travaux (2 visites par mois pendant 4 mois), y compris établissement du compte-rendu de visite</t>
  </si>
  <si>
    <t>Réalisation et/ou pilotage des contrôles, établissement des procès-verbaux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</si>
</sst>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\ &quot;€&quot;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Swis721 Cn BT"/>
      <family val="2"/>
    </font>
    <font>
      <sz val="11"/>
      <color indexed="8"/>
      <name val="Swis721 Cn BT"/>
      <family val="2"/>
    </font>
    <font>
      <sz val="11"/>
      <name val="Swis721 Cn BT"/>
      <family val="2"/>
    </font>
    <font>
      <sz val="11"/>
      <color theme="1"/>
      <name val="Swis721 Cn BT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Swis721 Cn BT"/>
      <family val="2"/>
    </font>
    <font>
      <b/>
      <sz val="14"/>
      <color theme="1"/>
      <name val="Swis721 Cn BT"/>
      <family val="2"/>
    </font>
    <font>
      <i/>
      <sz val="11"/>
      <color theme="1"/>
      <name val="Swis721 Cn BT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0" borderId="0"/>
  </cellStyleXfs>
  <cellXfs count="91">
    <xf numFmtId="0" fontId="0" fillId="0" borderId="0" xfId="0"/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4" fontId="3" fillId="0" borderId="13" xfId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44" fontId="3" fillId="0" borderId="15" xfId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44" fontId="3" fillId="0" borderId="18" xfId="1" applyFont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right" vertical="center" wrapText="1"/>
    </xf>
    <xf numFmtId="0" fontId="3" fillId="3" borderId="22" xfId="0" applyFont="1" applyFill="1" applyBorder="1" applyAlignment="1">
      <alignment horizontal="center" vertical="center" wrapText="1"/>
    </xf>
    <xf numFmtId="44" fontId="2" fillId="3" borderId="22" xfId="1" applyFont="1" applyFill="1" applyBorder="1" applyAlignment="1">
      <alignment horizontal="center" vertical="center" wrapText="1"/>
    </xf>
    <xf numFmtId="44" fontId="5" fillId="3" borderId="22" xfId="1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2" fillId="3" borderId="23" xfId="1" applyNumberFormat="1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right" vertical="center" wrapText="1"/>
    </xf>
    <xf numFmtId="164" fontId="2" fillId="3" borderId="25" xfId="2" applyNumberFormat="1" applyFont="1" applyFill="1" applyBorder="1" applyAlignment="1">
      <alignment horizontal="right" vertical="center" wrapText="1"/>
    </xf>
    <xf numFmtId="44" fontId="3" fillId="3" borderId="25" xfId="1" applyFont="1" applyFill="1" applyBorder="1" applyAlignment="1">
      <alignment horizontal="center" vertical="center" wrapText="1"/>
    </xf>
    <xf numFmtId="165" fontId="3" fillId="3" borderId="25" xfId="2" applyNumberFormat="1" applyFont="1" applyFill="1" applyBorder="1" applyAlignment="1">
      <alignment horizontal="right" vertical="center" wrapText="1"/>
    </xf>
    <xf numFmtId="165" fontId="3" fillId="3" borderId="26" xfId="2" applyNumberFormat="1" applyFont="1" applyFill="1" applyBorder="1" applyAlignment="1">
      <alignment horizontal="center" vertical="center" wrapText="1"/>
    </xf>
    <xf numFmtId="44" fontId="2" fillId="3" borderId="27" xfId="1" applyFont="1" applyFill="1" applyBorder="1" applyAlignment="1">
      <alignment horizontal="center" vertical="center" wrapText="1"/>
    </xf>
    <xf numFmtId="165" fontId="3" fillId="3" borderId="25" xfId="2" applyNumberFormat="1" applyFont="1" applyFill="1" applyBorder="1" applyAlignment="1">
      <alignment horizontal="center" vertical="center" wrapText="1"/>
    </xf>
    <xf numFmtId="44" fontId="3" fillId="0" borderId="16" xfId="1" applyFont="1" applyBorder="1" applyAlignment="1">
      <alignment horizontal="center" vertical="center" wrapText="1"/>
    </xf>
    <xf numFmtId="44" fontId="0" fillId="0" borderId="0" xfId="0" applyNumberFormat="1"/>
    <xf numFmtId="0" fontId="3" fillId="0" borderId="28" xfId="0" applyFont="1" applyBorder="1" applyAlignment="1">
      <alignment vertical="center" wrapText="1"/>
    </xf>
    <xf numFmtId="44" fontId="3" fillId="0" borderId="29" xfId="1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44" fontId="3" fillId="0" borderId="31" xfId="1" applyFont="1" applyBorder="1" applyAlignment="1">
      <alignment horizontal="center" vertical="center" wrapText="1"/>
    </xf>
    <xf numFmtId="0" fontId="4" fillId="0" borderId="30" xfId="0" applyFont="1" applyBorder="1" applyAlignment="1">
      <alignment vertical="center" wrapText="1"/>
    </xf>
    <xf numFmtId="44" fontId="3" fillId="0" borderId="32" xfId="1" applyFont="1" applyBorder="1" applyAlignment="1">
      <alignment horizontal="center" vertical="center" wrapText="1"/>
    </xf>
    <xf numFmtId="0" fontId="5" fillId="0" borderId="0" xfId="0" applyFont="1"/>
    <xf numFmtId="0" fontId="8" fillId="0" borderId="0" xfId="0" applyFont="1"/>
    <xf numFmtId="0" fontId="8" fillId="0" borderId="17" xfId="0" applyFont="1" applyBorder="1" applyAlignment="1">
      <alignment horizontal="center"/>
    </xf>
    <xf numFmtId="0" fontId="8" fillId="3" borderId="0" xfId="0" applyFont="1" applyFill="1" applyAlignment="1">
      <alignment horizontal="right"/>
    </xf>
    <xf numFmtId="44" fontId="8" fillId="4" borderId="22" xfId="0" applyNumberFormat="1" applyFont="1" applyFill="1" applyBorder="1"/>
    <xf numFmtId="44" fontId="2" fillId="3" borderId="33" xfId="1" applyFont="1" applyFill="1" applyBorder="1" applyAlignment="1">
      <alignment horizontal="center" vertical="center" wrapText="1"/>
    </xf>
    <xf numFmtId="166" fontId="0" fillId="0" borderId="0" xfId="0" applyNumberFormat="1"/>
    <xf numFmtId="44" fontId="3" fillId="0" borderId="16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44" fontId="8" fillId="0" borderId="0" xfId="0" applyNumberFormat="1" applyFont="1"/>
    <xf numFmtId="0" fontId="10" fillId="0" borderId="0" xfId="0" applyFont="1"/>
    <xf numFmtId="0" fontId="11" fillId="0" borderId="0" xfId="0" applyFont="1"/>
    <xf numFmtId="2" fontId="0" fillId="0" borderId="0" xfId="0" applyNumberFormat="1"/>
    <xf numFmtId="0" fontId="4" fillId="0" borderId="34" xfId="0" applyFont="1" applyBorder="1" applyAlignment="1">
      <alignment vertical="center" wrapText="1"/>
    </xf>
    <xf numFmtId="0" fontId="3" fillId="0" borderId="35" xfId="0" applyFont="1" applyBorder="1" applyAlignment="1">
      <alignment horizontal="center" vertical="center" wrapText="1"/>
    </xf>
    <xf numFmtId="44" fontId="3" fillId="0" borderId="35" xfId="1" applyFont="1" applyBorder="1" applyAlignment="1">
      <alignment horizontal="center" vertical="center" wrapText="1"/>
    </xf>
    <xf numFmtId="44" fontId="3" fillId="0" borderId="36" xfId="1" applyFont="1" applyBorder="1" applyAlignment="1">
      <alignment horizontal="center" vertical="center" wrapText="1"/>
    </xf>
    <xf numFmtId="44" fontId="3" fillId="0" borderId="37" xfId="1" applyFont="1" applyBorder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0" fontId="0" fillId="5" borderId="0" xfId="0" applyFill="1"/>
    <xf numFmtId="44" fontId="5" fillId="0" borderId="0" xfId="0" applyNumberFormat="1" applyFont="1"/>
    <xf numFmtId="0" fontId="9" fillId="5" borderId="0" xfId="0" applyFont="1" applyFill="1" applyAlignment="1">
      <alignment horizontal="center" wrapText="1"/>
    </xf>
    <xf numFmtId="165" fontId="2" fillId="3" borderId="1" xfId="2" applyNumberFormat="1" applyFont="1" applyFill="1" applyBorder="1" applyAlignment="1">
      <alignment horizontal="center" vertical="center" wrapText="1"/>
    </xf>
    <xf numFmtId="165" fontId="2" fillId="3" borderId="2" xfId="2" applyNumberFormat="1" applyFont="1" applyFill="1" applyBorder="1" applyAlignment="1">
      <alignment horizontal="center" vertical="center" wrapText="1"/>
    </xf>
    <xf numFmtId="165" fontId="2" fillId="3" borderId="3" xfId="2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left" vertical="center" wrapText="1"/>
    </xf>
    <xf numFmtId="0" fontId="2" fillId="2" borderId="39" xfId="0" applyFont="1" applyFill="1" applyBorder="1" applyAlignment="1">
      <alignment horizontal="left" vertical="center" wrapText="1"/>
    </xf>
    <xf numFmtId="0" fontId="2" fillId="2" borderId="40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center" vertical="center" wrapText="1"/>
    </xf>
    <xf numFmtId="44" fontId="3" fillId="0" borderId="13" xfId="1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44" fontId="4" fillId="0" borderId="15" xfId="1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44" fontId="3" fillId="0" borderId="15" xfId="1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44" fontId="3" fillId="0" borderId="14" xfId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44" fontId="3" fillId="0" borderId="18" xfId="1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44" fontId="3" fillId="0" borderId="20" xfId="1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44" fontId="3" fillId="0" borderId="35" xfId="1" applyFont="1" applyFill="1" applyBorder="1" applyAlignment="1">
      <alignment horizontal="center" vertical="center" wrapText="1"/>
    </xf>
  </cellXfs>
  <cellStyles count="4">
    <cellStyle name="Euro" xfId="2" xr:uid="{00000000-0005-0000-0000-000000000000}"/>
    <cellStyle name="Monétaire" xfId="1" builtinId="4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160020</xdr:rowOff>
    </xdr:from>
    <xdr:to>
      <xdr:col>3</xdr:col>
      <xdr:colOff>266700</xdr:colOff>
      <xdr:row>4</xdr:row>
      <xdr:rowOff>171363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7E1A68C-C9CE-D165-E396-00C81C957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320" y="160020"/>
          <a:ext cx="2057400" cy="902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3" zoomScaleNormal="100" zoomScaleSheetLayoutView="100" workbookViewId="0">
      <selection activeCell="D24" sqref="D24:F26"/>
    </sheetView>
  </sheetViews>
  <sheetFormatPr baseColWidth="10" defaultColWidth="9.109375" defaultRowHeight="14.4" x14ac:dyDescent="0.3"/>
  <cols>
    <col min="1" max="1" width="67.77734375" customWidth="1"/>
    <col min="2" max="3" width="13.33203125" bestFit="1" customWidth="1"/>
    <col min="4" max="4" width="10.88671875" bestFit="1" customWidth="1"/>
    <col min="5" max="5" width="12" bestFit="1" customWidth="1"/>
    <col min="6" max="6" width="9.33203125" bestFit="1" customWidth="1"/>
    <col min="7" max="7" width="12" bestFit="1" customWidth="1"/>
    <col min="8" max="8" width="15.33203125" customWidth="1"/>
    <col min="9" max="9" width="11.6640625" bestFit="1" customWidth="1"/>
    <col min="11" max="11" width="11.88671875" bestFit="1" customWidth="1"/>
    <col min="14" max="14" width="10.6640625" bestFit="1" customWidth="1"/>
  </cols>
  <sheetData>
    <row r="1" spans="1:12" s="58" customFormat="1" ht="17.399999999999999" x14ac:dyDescent="0.3">
      <c r="A1" s="56" t="s">
        <v>26</v>
      </c>
      <c r="B1" s="57"/>
      <c r="C1" s="57"/>
      <c r="D1" s="57"/>
      <c r="E1" s="57"/>
      <c r="F1" s="57"/>
      <c r="G1" s="57"/>
      <c r="H1" s="57"/>
    </row>
    <row r="2" spans="1:12" s="58" customFormat="1" ht="17.399999999999999" x14ac:dyDescent="0.3">
      <c r="A2" s="57"/>
      <c r="B2" s="57"/>
      <c r="C2" s="57"/>
      <c r="D2" s="57"/>
      <c r="E2" s="57"/>
      <c r="F2" s="57"/>
      <c r="G2" s="57"/>
      <c r="H2" s="57"/>
    </row>
    <row r="3" spans="1:12" s="58" customFormat="1" ht="17.399999999999999" x14ac:dyDescent="0.3">
      <c r="A3" s="57"/>
      <c r="B3" s="57"/>
      <c r="C3" s="57"/>
      <c r="D3" s="57"/>
      <c r="E3" s="57"/>
      <c r="F3" s="57"/>
      <c r="G3" s="57"/>
      <c r="H3" s="57"/>
    </row>
    <row r="4" spans="1:12" s="58" customFormat="1" ht="17.399999999999999" x14ac:dyDescent="0.3">
      <c r="A4" s="57"/>
      <c r="B4" s="57"/>
      <c r="C4" s="57"/>
      <c r="D4" s="57"/>
      <c r="E4" s="57"/>
      <c r="F4" s="57"/>
      <c r="G4" s="57"/>
      <c r="H4" s="57"/>
    </row>
    <row r="5" spans="1:12" s="58" customFormat="1" x14ac:dyDescent="0.3"/>
    <row r="6" spans="1:12" s="58" customFormat="1" ht="38.25" customHeight="1" x14ac:dyDescent="0.3">
      <c r="A6" s="60"/>
      <c r="B6" s="60"/>
      <c r="C6" s="60"/>
      <c r="D6" s="60"/>
      <c r="E6" s="60"/>
      <c r="F6" s="60"/>
      <c r="G6" s="60"/>
      <c r="H6" s="60"/>
    </row>
    <row r="7" spans="1:12" ht="15" thickBot="1" x14ac:dyDescent="0.35"/>
    <row r="8" spans="1:12" ht="15" thickBot="1" x14ac:dyDescent="0.35">
      <c r="A8" s="64" t="s">
        <v>0</v>
      </c>
      <c r="B8" s="65"/>
      <c r="C8" s="65"/>
      <c r="D8" s="65"/>
      <c r="E8" s="65"/>
      <c r="F8" s="65"/>
      <c r="G8" s="65"/>
      <c r="H8" s="66"/>
    </row>
    <row r="9" spans="1:12" ht="15" thickBot="1" x14ac:dyDescent="0.35">
      <c r="A9" s="1"/>
      <c r="B9" s="2"/>
      <c r="C9" s="3"/>
      <c r="D9" s="2"/>
      <c r="E9" s="3"/>
      <c r="F9" s="3"/>
      <c r="G9" s="3"/>
      <c r="H9" s="4"/>
    </row>
    <row r="10" spans="1:12" ht="15" thickBot="1" x14ac:dyDescent="0.35">
      <c r="A10" s="5"/>
      <c r="B10" s="67" t="s">
        <v>27</v>
      </c>
      <c r="C10" s="68"/>
      <c r="D10" s="67" t="s">
        <v>18</v>
      </c>
      <c r="E10" s="68"/>
      <c r="F10" s="67" t="s">
        <v>19</v>
      </c>
      <c r="G10" s="68"/>
      <c r="H10" s="6" t="s">
        <v>1</v>
      </c>
    </row>
    <row r="11" spans="1:12" ht="15" thickBot="1" x14ac:dyDescent="0.35">
      <c r="A11" s="7"/>
      <c r="B11" s="8" t="s">
        <v>20</v>
      </c>
      <c r="C11" s="9">
        <v>850</v>
      </c>
      <c r="D11" s="8" t="s">
        <v>20</v>
      </c>
      <c r="E11" s="10">
        <v>750</v>
      </c>
      <c r="F11" s="8" t="s">
        <v>20</v>
      </c>
      <c r="G11" s="9">
        <v>700</v>
      </c>
      <c r="H11" s="6" t="s">
        <v>2</v>
      </c>
    </row>
    <row r="12" spans="1:12" x14ac:dyDescent="0.3">
      <c r="A12" s="72" t="s">
        <v>28</v>
      </c>
      <c r="B12" s="73"/>
      <c r="C12" s="73"/>
      <c r="D12" s="73"/>
      <c r="E12" s="73"/>
      <c r="F12" s="73"/>
      <c r="G12" s="73"/>
      <c r="H12" s="74"/>
      <c r="J12" s="44">
        <f t="shared" ref="J12:J22" si="0">(F12+D12)</f>
        <v>0</v>
      </c>
    </row>
    <row r="13" spans="1:12" x14ac:dyDescent="0.3">
      <c r="A13" s="32" t="s">
        <v>3</v>
      </c>
      <c r="B13" s="11">
        <v>0</v>
      </c>
      <c r="C13" s="12">
        <f>B13*$C$11</f>
        <v>0</v>
      </c>
      <c r="D13" s="75">
        <v>0.5</v>
      </c>
      <c r="E13" s="76">
        <f t="shared" ref="E13:E19" si="1">D13*$E$11</f>
        <v>375</v>
      </c>
      <c r="F13" s="77">
        <v>0.5</v>
      </c>
      <c r="G13" s="84">
        <f>F13*$G$11</f>
        <v>350</v>
      </c>
      <c r="H13" s="33">
        <f>C13+E13+G13</f>
        <v>725</v>
      </c>
      <c r="J13" s="44">
        <f t="shared" si="0"/>
        <v>1</v>
      </c>
    </row>
    <row r="14" spans="1:12" ht="27.6" x14ac:dyDescent="0.3">
      <c r="A14" s="34" t="s">
        <v>4</v>
      </c>
      <c r="B14" s="13">
        <v>0</v>
      </c>
      <c r="C14" s="14">
        <f>B14*$C$11</f>
        <v>0</v>
      </c>
      <c r="D14" s="81">
        <v>0.5</v>
      </c>
      <c r="E14" s="82">
        <f t="shared" si="1"/>
        <v>375</v>
      </c>
      <c r="F14" s="83">
        <v>1</v>
      </c>
      <c r="G14" s="45">
        <f t="shared" ref="G14:G19" si="2">F14*$G$11</f>
        <v>700</v>
      </c>
      <c r="H14" s="35">
        <f t="shared" ref="H14:H17" si="3">C14+E14+G14</f>
        <v>1075</v>
      </c>
      <c r="I14" s="31">
        <f>H16/8</f>
        <v>87.5</v>
      </c>
      <c r="J14" s="44">
        <f t="shared" si="0"/>
        <v>1.5</v>
      </c>
      <c r="K14" t="s">
        <v>31</v>
      </c>
      <c r="L14" t="s">
        <v>16</v>
      </c>
    </row>
    <row r="15" spans="1:12" ht="27.6" x14ac:dyDescent="0.3">
      <c r="A15" s="34" t="s">
        <v>32</v>
      </c>
      <c r="B15" s="13">
        <v>0</v>
      </c>
      <c r="C15" s="14">
        <f t="shared" ref="C15:C16" si="4">B15*$C$11</f>
        <v>0</v>
      </c>
      <c r="D15" s="81">
        <v>0</v>
      </c>
      <c r="E15" s="82">
        <f t="shared" si="1"/>
        <v>0</v>
      </c>
      <c r="F15" s="83">
        <v>8</v>
      </c>
      <c r="G15" s="45">
        <f t="shared" si="2"/>
        <v>5600</v>
      </c>
      <c r="H15" s="35">
        <f t="shared" si="3"/>
        <v>5600</v>
      </c>
      <c r="I15" s="31"/>
      <c r="J15" s="44"/>
    </row>
    <row r="16" spans="1:12" ht="21.75" customHeight="1" x14ac:dyDescent="0.3">
      <c r="A16" s="34" t="s">
        <v>33</v>
      </c>
      <c r="B16" s="13">
        <v>0</v>
      </c>
      <c r="C16" s="14">
        <f t="shared" si="4"/>
        <v>0</v>
      </c>
      <c r="D16" s="78">
        <v>0</v>
      </c>
      <c r="E16" s="79">
        <f t="shared" si="1"/>
        <v>0</v>
      </c>
      <c r="F16" s="80">
        <v>1</v>
      </c>
      <c r="G16" s="45">
        <f t="shared" si="2"/>
        <v>700</v>
      </c>
      <c r="H16" s="35">
        <f>C16+E16+G16</f>
        <v>700</v>
      </c>
      <c r="I16" s="31">
        <f>F16/8</f>
        <v>0.125</v>
      </c>
      <c r="J16" s="44">
        <f>(F16+D16)</f>
        <v>1</v>
      </c>
    </row>
    <row r="17" spans="1:14" x14ac:dyDescent="0.3">
      <c r="A17" s="34" t="s">
        <v>15</v>
      </c>
      <c r="B17" s="13">
        <v>0</v>
      </c>
      <c r="C17" s="14">
        <f>B17*$C$11</f>
        <v>0</v>
      </c>
      <c r="D17" s="81">
        <v>0.5</v>
      </c>
      <c r="E17" s="82">
        <f t="shared" si="1"/>
        <v>375</v>
      </c>
      <c r="F17" s="83">
        <v>1</v>
      </c>
      <c r="G17" s="45">
        <f t="shared" si="2"/>
        <v>700</v>
      </c>
      <c r="H17" s="35">
        <f t="shared" si="3"/>
        <v>1075</v>
      </c>
      <c r="J17" s="44">
        <f t="shared" si="0"/>
        <v>1.5</v>
      </c>
      <c r="K17">
        <v>8</v>
      </c>
      <c r="L17" t="s">
        <v>17</v>
      </c>
    </row>
    <row r="18" spans="1:14" x14ac:dyDescent="0.3">
      <c r="A18" s="36" t="s">
        <v>5</v>
      </c>
      <c r="B18" s="13">
        <v>0</v>
      </c>
      <c r="C18" s="14">
        <f t="shared" ref="C18" si="5">B18*$C$11</f>
        <v>0</v>
      </c>
      <c r="D18" s="78">
        <v>0.5</v>
      </c>
      <c r="E18" s="82">
        <f t="shared" si="1"/>
        <v>375</v>
      </c>
      <c r="F18" s="78">
        <v>1</v>
      </c>
      <c r="G18" s="45">
        <f t="shared" si="2"/>
        <v>700</v>
      </c>
      <c r="H18" s="35">
        <f>C18+E18+G18</f>
        <v>1075</v>
      </c>
      <c r="J18" s="44">
        <f t="shared" si="0"/>
        <v>1.5</v>
      </c>
      <c r="K18">
        <f>10*(0.75)</f>
        <v>7.5</v>
      </c>
      <c r="L18">
        <f>K18*2</f>
        <v>15</v>
      </c>
    </row>
    <row r="19" spans="1:14" x14ac:dyDescent="0.3">
      <c r="A19" s="36" t="s">
        <v>6</v>
      </c>
      <c r="B19" s="15">
        <v>0</v>
      </c>
      <c r="C19" s="16">
        <f>B19*$C$11</f>
        <v>0</v>
      </c>
      <c r="D19" s="85">
        <v>0.5</v>
      </c>
      <c r="E19" s="86">
        <f t="shared" si="1"/>
        <v>375</v>
      </c>
      <c r="F19" s="87">
        <v>2</v>
      </c>
      <c r="G19" s="88">
        <f t="shared" si="2"/>
        <v>1400</v>
      </c>
      <c r="H19" s="37">
        <f t="shared" ref="H19" si="6">C19+E19+G19</f>
        <v>1775</v>
      </c>
      <c r="J19" s="44">
        <f t="shared" si="0"/>
        <v>2.5</v>
      </c>
      <c r="L19" t="s">
        <v>14</v>
      </c>
    </row>
    <row r="20" spans="1:14" x14ac:dyDescent="0.3">
      <c r="A20" s="17" t="s">
        <v>22</v>
      </c>
      <c r="B20" s="18">
        <f>SUM(B13:B19)</f>
        <v>0</v>
      </c>
      <c r="C20" s="19"/>
      <c r="D20" s="18">
        <f>SUM(D13:D19)</f>
        <v>2.5</v>
      </c>
      <c r="E20" s="20"/>
      <c r="F20" s="21">
        <f>SUM(F13:F19)</f>
        <v>14.5</v>
      </c>
      <c r="G20" s="21"/>
      <c r="H20" s="22">
        <f>B20+D20+F20</f>
        <v>17</v>
      </c>
      <c r="J20" s="44">
        <f t="shared" si="0"/>
        <v>17</v>
      </c>
      <c r="K20">
        <f>12*0.75*2</f>
        <v>18</v>
      </c>
    </row>
    <row r="21" spans="1:14" ht="15" thickBot="1" x14ac:dyDescent="0.35">
      <c r="A21" s="23" t="s">
        <v>8</v>
      </c>
      <c r="B21" s="24"/>
      <c r="C21" s="25">
        <f>SUM(C13:C19)</f>
        <v>0</v>
      </c>
      <c r="D21" s="26"/>
      <c r="E21" s="25">
        <f>SUM(E13:E19)</f>
        <v>1875</v>
      </c>
      <c r="F21" s="27"/>
      <c r="G21" s="29">
        <f>SUM(G13:G19)</f>
        <v>10150</v>
      </c>
      <c r="H21" s="28">
        <f>C21+E21+G21</f>
        <v>12025</v>
      </c>
      <c r="I21" s="31"/>
      <c r="J21" s="44">
        <f t="shared" si="0"/>
        <v>0</v>
      </c>
    </row>
    <row r="22" spans="1:14" ht="15" thickBot="1" x14ac:dyDescent="0.35">
      <c r="A22" s="39"/>
      <c r="B22" s="40" t="s">
        <v>11</v>
      </c>
      <c r="C22" s="40" t="s">
        <v>12</v>
      </c>
      <c r="D22" s="38"/>
      <c r="E22" s="61" t="s">
        <v>9</v>
      </c>
      <c r="F22" s="62"/>
      <c r="G22" s="63"/>
      <c r="H22" s="43">
        <f>H21*1.2</f>
        <v>14430</v>
      </c>
      <c r="J22" s="44">
        <f t="shared" si="0"/>
        <v>0</v>
      </c>
    </row>
    <row r="23" spans="1:14" x14ac:dyDescent="0.3">
      <c r="A23" s="69" t="s">
        <v>29</v>
      </c>
      <c r="B23" s="70"/>
      <c r="C23" s="70"/>
      <c r="D23" s="70"/>
      <c r="E23" s="70"/>
      <c r="F23" s="70"/>
      <c r="G23" s="70"/>
      <c r="H23" s="71"/>
      <c r="J23" s="44">
        <f t="shared" ref="J23:J31" si="7">(F23+D23)</f>
        <v>0</v>
      </c>
    </row>
    <row r="24" spans="1:14" x14ac:dyDescent="0.3">
      <c r="A24" s="51" t="s">
        <v>23</v>
      </c>
      <c r="B24" s="52">
        <v>0</v>
      </c>
      <c r="C24" s="53">
        <f>B24*$C$11</f>
        <v>0</v>
      </c>
      <c r="D24" s="89">
        <v>0.5</v>
      </c>
      <c r="E24" s="90">
        <f>D24*$E$11</f>
        <v>375</v>
      </c>
      <c r="F24" s="89">
        <v>0.75</v>
      </c>
      <c r="G24" s="54">
        <f>F24*$G$11</f>
        <v>525</v>
      </c>
      <c r="H24" s="55">
        <f t="shared" ref="H24:H26" si="8">C24+E24+G24</f>
        <v>900</v>
      </c>
      <c r="J24" s="50">
        <f t="shared" si="7"/>
        <v>1.25</v>
      </c>
    </row>
    <row r="25" spans="1:14" ht="27.6" x14ac:dyDescent="0.3">
      <c r="A25" s="36" t="s">
        <v>24</v>
      </c>
      <c r="B25" s="13">
        <v>0</v>
      </c>
      <c r="C25" s="14">
        <f>B25*$C$11</f>
        <v>0</v>
      </c>
      <c r="D25" s="78">
        <v>0.5</v>
      </c>
      <c r="E25" s="82">
        <f>D25*$E$11</f>
        <v>375</v>
      </c>
      <c r="F25" s="78">
        <v>0.75</v>
      </c>
      <c r="G25" s="30">
        <f>F25*$G$11</f>
        <v>525</v>
      </c>
      <c r="H25" s="35">
        <f t="shared" si="8"/>
        <v>900</v>
      </c>
      <c r="J25" s="50">
        <f t="shared" si="7"/>
        <v>1.25</v>
      </c>
    </row>
    <row r="26" spans="1:14" x14ac:dyDescent="0.3">
      <c r="A26" s="36" t="s">
        <v>25</v>
      </c>
      <c r="B26" s="13">
        <v>0</v>
      </c>
      <c r="C26" s="14">
        <f>B26*$C$11</f>
        <v>0</v>
      </c>
      <c r="D26" s="78">
        <v>0.5</v>
      </c>
      <c r="E26" s="82">
        <f>D26*$E$11</f>
        <v>375</v>
      </c>
      <c r="F26" s="78">
        <v>0.5</v>
      </c>
      <c r="G26" s="30">
        <f>F26*$G$11</f>
        <v>350</v>
      </c>
      <c r="H26" s="35">
        <f t="shared" si="8"/>
        <v>725</v>
      </c>
      <c r="J26" s="50">
        <f t="shared" si="7"/>
        <v>1</v>
      </c>
    </row>
    <row r="27" spans="1:14" x14ac:dyDescent="0.3">
      <c r="A27" s="17" t="s">
        <v>30</v>
      </c>
      <c r="B27" s="18">
        <f>SUM(B24:B26)</f>
        <v>0</v>
      </c>
      <c r="C27" s="19"/>
      <c r="D27" s="18">
        <f>SUM(D24:D26)</f>
        <v>1.5</v>
      </c>
      <c r="E27" s="20"/>
      <c r="F27" s="21">
        <f>SUM(F24:F26)</f>
        <v>2</v>
      </c>
      <c r="G27" s="21"/>
      <c r="H27" s="22">
        <f>B27+D27+F27</f>
        <v>3.5</v>
      </c>
      <c r="J27" s="50">
        <f t="shared" si="7"/>
        <v>3.5</v>
      </c>
      <c r="K27">
        <f>12*0.75*2</f>
        <v>18</v>
      </c>
    </row>
    <row r="28" spans="1:14" ht="15" thickBot="1" x14ac:dyDescent="0.35">
      <c r="A28" s="23" t="s">
        <v>7</v>
      </c>
      <c r="B28" s="24"/>
      <c r="C28" s="25">
        <f>SUM(C24:C26)</f>
        <v>0</v>
      </c>
      <c r="D28" s="26"/>
      <c r="E28" s="25">
        <f>SUM(E24:E26)</f>
        <v>1125</v>
      </c>
      <c r="F28" s="27"/>
      <c r="G28" s="29">
        <f>SUM(G24:G26)</f>
        <v>1400</v>
      </c>
      <c r="H28" s="28">
        <f>C28+E28+G28</f>
        <v>2525</v>
      </c>
      <c r="I28" s="31"/>
      <c r="J28" s="50">
        <f t="shared" si="7"/>
        <v>0</v>
      </c>
    </row>
    <row r="29" spans="1:14" ht="15" thickBot="1" x14ac:dyDescent="0.35">
      <c r="A29" s="39"/>
      <c r="B29" s="40" t="s">
        <v>11</v>
      </c>
      <c r="C29" s="40" t="s">
        <v>12</v>
      </c>
      <c r="D29" s="38"/>
      <c r="E29" s="61" t="s">
        <v>10</v>
      </c>
      <c r="F29" s="62"/>
      <c r="G29" s="63"/>
      <c r="H29" s="43">
        <f>H28*1.2</f>
        <v>3030</v>
      </c>
      <c r="J29" s="50">
        <f t="shared" si="7"/>
        <v>0</v>
      </c>
    </row>
    <row r="30" spans="1:14" x14ac:dyDescent="0.3">
      <c r="A30" s="41" t="s">
        <v>13</v>
      </c>
      <c r="B30" s="42">
        <f>H28+H21</f>
        <v>14550</v>
      </c>
      <c r="C30" s="42">
        <f>H29+H22</f>
        <v>17460</v>
      </c>
      <c r="D30" s="38"/>
      <c r="E30" s="38"/>
      <c r="F30" s="38"/>
      <c r="G30" s="38"/>
      <c r="H30" s="38"/>
      <c r="J30" s="50">
        <f t="shared" si="7"/>
        <v>0</v>
      </c>
      <c r="N30" s="31">
        <f>B30/5</f>
        <v>2910</v>
      </c>
    </row>
    <row r="31" spans="1:14" x14ac:dyDescent="0.3">
      <c r="A31" s="46"/>
      <c r="B31" s="47"/>
      <c r="C31" s="47"/>
      <c r="D31" s="59">
        <f>C30-B30</f>
        <v>2910</v>
      </c>
      <c r="E31" s="38"/>
      <c r="F31" s="38"/>
      <c r="G31" s="38"/>
      <c r="H31" s="38"/>
      <c r="J31" s="50">
        <f t="shared" si="7"/>
        <v>2910</v>
      </c>
    </row>
    <row r="32" spans="1:14" x14ac:dyDescent="0.3">
      <c r="A32" s="48" t="s">
        <v>21</v>
      </c>
      <c r="B32" s="49"/>
      <c r="C32" s="49"/>
      <c r="D32" s="49"/>
      <c r="E32" s="49"/>
      <c r="F32" s="49"/>
      <c r="G32" s="49"/>
      <c r="H32" s="49"/>
    </row>
    <row r="36" spans="2:2" x14ac:dyDescent="0.3">
      <c r="B36" s="31">
        <f>C30-B30</f>
        <v>2910</v>
      </c>
    </row>
  </sheetData>
  <mergeCells count="9">
    <mergeCell ref="A6:H6"/>
    <mergeCell ref="E29:G29"/>
    <mergeCell ref="A8:H8"/>
    <mergeCell ref="B10:C10"/>
    <mergeCell ref="D10:E10"/>
    <mergeCell ref="F10:G10"/>
    <mergeCell ref="A23:H23"/>
    <mergeCell ref="A12:H12"/>
    <mergeCell ref="E22:G22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rowBreaks count="1" manualBreakCount="1">
    <brk id="21" max="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14dbf3-4757-4b87-830c-f81c5995cb21" xsi:nil="true"/>
    <lcf76f155ced4ddcb4097134ff3c332f xmlns="ec407b85-22e9-43a2-9ee3-8399a223d44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21C7F79DA7D44C9202BD863DBD3895" ma:contentTypeVersion="14" ma:contentTypeDescription="Crée un document." ma:contentTypeScope="" ma:versionID="6b629342df3290dc81b207709f5b8daa">
  <xsd:schema xmlns:xsd="http://www.w3.org/2001/XMLSchema" xmlns:xs="http://www.w3.org/2001/XMLSchema" xmlns:p="http://schemas.microsoft.com/office/2006/metadata/properties" xmlns:ns2="ec407b85-22e9-43a2-9ee3-8399a223d44b" xmlns:ns3="4e14dbf3-4757-4b87-830c-f81c5995cb21" targetNamespace="http://schemas.microsoft.com/office/2006/metadata/properties" ma:root="true" ma:fieldsID="c02dc2012affdf2f27cacd7967506441" ns2:_="" ns3:_="">
    <xsd:import namespace="ec407b85-22e9-43a2-9ee3-8399a223d44b"/>
    <xsd:import namespace="4e14dbf3-4757-4b87-830c-f81c5995cb2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07b85-22e9-43a2-9ee3-8399a223d44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1be86c89-c566-46aa-ae21-a1d5288a1d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4dbf3-4757-4b87-830c-f81c5995cb2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7f458ee-1ef1-4301-b5c0-feb4c957d412}" ma:internalName="TaxCatchAll" ma:showField="CatchAllData" ma:web="4e14dbf3-4757-4b87-830c-f81c5995cb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939E1D-094B-4471-A9E2-F94D70D991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A42885-17A6-4AAB-A860-79074C16E958}">
  <ds:schemaRefs>
    <ds:schemaRef ds:uri="2cba1a1c-4943-44f3-9d55-ff83bbfe89dd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d1dd9a9a-b3f8-4faa-acef-99fd773e7778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4e14dbf3-4757-4b87-830c-f81c5995cb21"/>
    <ds:schemaRef ds:uri="ec407b85-22e9-43a2-9ee3-8399a223d44b"/>
  </ds:schemaRefs>
</ds:datastoreItem>
</file>

<file path=customXml/itemProps3.xml><?xml version="1.0" encoding="utf-8"?>
<ds:datastoreItem xmlns:ds="http://schemas.openxmlformats.org/officeDocument/2006/customXml" ds:itemID="{DE9918D0-9400-47D9-8B81-8477369AF2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407b85-22e9-43a2-9ee3-8399a223d44b"/>
    <ds:schemaRef ds:uri="4e14dbf3-4757-4b87-830c-f81c5995cb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Feuil1!Print_Area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2025-07-23T10:35:49Z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0x0101003C21C7F79DA7D44C9202BD863DBD3895</vt:lpwstr>
  </property>
  <property fmtid="{D5CDD505-2E9C-101B-9397-08002B2CF9AE}" pid="3" name="MediaServiceImageTags">
    <vt:lpwstr/>
  </property>
</Properties>
</file>