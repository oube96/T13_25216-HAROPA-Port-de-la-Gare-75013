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ESSOR TRANSITIONS\01 - COMMERCE\02_PROPOSITIONS COMMERCIALES\T13_25216 - HAROPA_Port de la Gare (75013)\2- TRAVAIL\"/>
    </mc:Choice>
  </mc:AlternateContent>
  <xr:revisionPtr revIDLastSave="0" documentId="13_ncr:1_{6B972F8A-1518-4E23-97D6-625C1C655F58}" xr6:coauthVersionLast="47" xr6:coauthVersionMax="47" xr10:uidLastSave="{00000000-0000-0000-0000-000000000000}"/>
  <bookViews>
    <workbookView xWindow="-108" yWindow="-108" windowWidth="23256" windowHeight="12576" xr2:uid="{963BCC75-BDB4-41FC-A656-E5D682503F42}"/>
  </bookViews>
  <sheets>
    <sheet name="sous-détail" sheetId="1" r:id="rId1"/>
  </sheets>
  <definedNames>
    <definedName name="AE_Annexe1_BPU">'sous-détail'!$B$1:$R$27</definedName>
    <definedName name="Annexe4_RC_DQE">'sous-détail'!$B$1:$R$27</definedName>
    <definedName name="_xlnm.Print_Area" localSheetId="0">'sous-détail'!$A$1:$R$24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N22" i="1"/>
  <c r="L22" i="1"/>
  <c r="J22" i="1"/>
  <c r="H22" i="1"/>
  <c r="F22" i="1"/>
  <c r="P21" i="1"/>
  <c r="N21" i="1"/>
  <c r="L21" i="1"/>
  <c r="J21" i="1"/>
  <c r="H21" i="1"/>
  <c r="F21" i="1"/>
  <c r="P20" i="1"/>
  <c r="N20" i="1"/>
  <c r="L20" i="1"/>
  <c r="J20" i="1"/>
  <c r="H20" i="1"/>
  <c r="F20" i="1"/>
  <c r="P19" i="1"/>
  <c r="N19" i="1"/>
  <c r="L19" i="1"/>
  <c r="J19" i="1"/>
  <c r="H19" i="1"/>
  <c r="F19" i="1"/>
  <c r="P18" i="1"/>
  <c r="N18" i="1"/>
  <c r="L18" i="1"/>
  <c r="J18" i="1"/>
  <c r="H18" i="1"/>
  <c r="F18" i="1"/>
  <c r="P17" i="1"/>
  <c r="N17" i="1"/>
  <c r="L17" i="1"/>
  <c r="J17" i="1"/>
  <c r="H17" i="1"/>
  <c r="F17" i="1"/>
  <c r="O14" i="1"/>
  <c r="Q24" i="1"/>
  <c r="O24" i="1"/>
  <c r="M24" i="1"/>
  <c r="K24" i="1"/>
  <c r="I24" i="1"/>
  <c r="G24" i="1"/>
  <c r="R18" i="1" l="1"/>
  <c r="R22" i="1"/>
  <c r="R20" i="1"/>
  <c r="R21" i="1"/>
  <c r="R19" i="1"/>
  <c r="R17" i="1"/>
  <c r="K14" i="1"/>
  <c r="E14" i="1"/>
  <c r="G14" i="1"/>
  <c r="I14" i="1"/>
  <c r="E24" i="1" l="1"/>
  <c r="P23" i="1"/>
  <c r="M14" i="1"/>
  <c r="H16" i="1"/>
  <c r="F23" i="1"/>
  <c r="J16" i="1" l="1"/>
  <c r="H23" i="1"/>
  <c r="H24" i="1" s="1"/>
  <c r="L16" i="1"/>
  <c r="J23" i="1"/>
  <c r="N16" i="1"/>
  <c r="L23" i="1"/>
  <c r="P16" i="1"/>
  <c r="N23" i="1"/>
  <c r="F16" i="1"/>
  <c r="N24" i="1" l="1"/>
  <c r="L24" i="1"/>
  <c r="J24" i="1"/>
  <c r="F24" i="1"/>
  <c r="P24" i="1"/>
  <c r="R23" i="1"/>
  <c r="R16" i="1"/>
  <c r="R24" i="1" l="1"/>
</calcChain>
</file>

<file path=xl/sharedStrings.xml><?xml version="1.0" encoding="utf-8"?>
<sst xmlns="http://schemas.openxmlformats.org/spreadsheetml/2006/main" count="51" uniqueCount="41">
  <si>
    <t>N° du profil</t>
  </si>
  <si>
    <t xml:space="preserve">Intitulé du profil </t>
  </si>
  <si>
    <t>Profil n°1</t>
  </si>
  <si>
    <t>Directeur de Projet</t>
  </si>
  <si>
    <t>Profil n°2</t>
  </si>
  <si>
    <t>Profil n°3</t>
  </si>
  <si>
    <t>Profil n°4</t>
  </si>
  <si>
    <t>Profil n°5</t>
  </si>
  <si>
    <t>Profil n°6</t>
  </si>
  <si>
    <t>à définir par le candidat</t>
  </si>
  <si>
    <t>Chef de projet</t>
  </si>
  <si>
    <t>Ingénieur d'affaire</t>
  </si>
  <si>
    <t>Secrétaire</t>
  </si>
  <si>
    <t>Projeteur</t>
  </si>
  <si>
    <t xml:space="preserve">Nom du candidat : </t>
  </si>
  <si>
    <t>Sous total
(€ HT)</t>
  </si>
  <si>
    <t>Nombre
de jours</t>
  </si>
  <si>
    <t>Libellé</t>
  </si>
  <si>
    <t>Numéro
de prix</t>
  </si>
  <si>
    <t>Taux journalier
(€ HT)</t>
  </si>
  <si>
    <t>autres frais
(transport, structure…)</t>
  </si>
  <si>
    <t>Montant total
de l'élément de mission
(€ HT)</t>
  </si>
  <si>
    <t>SOUS-TOTAUX</t>
  </si>
  <si>
    <t>Taux journalier par profil</t>
  </si>
  <si>
    <t>02-01</t>
  </si>
  <si>
    <t>Etablissement du plan de contrôles</t>
  </si>
  <si>
    <t>Réalisation et/ou pilotage des contrôles, établissement des procès-verbaux</t>
  </si>
  <si>
    <t>VISAS des documents d'exécution (établis par l'entreprise et ses sous-traitants)</t>
  </si>
  <si>
    <t>Etablissement et mise à jour d'un tableau de bord de restitution</t>
  </si>
  <si>
    <t>Etablissement du rapport final</t>
  </si>
  <si>
    <t>02-02</t>
  </si>
  <si>
    <t>02-03</t>
  </si>
  <si>
    <t>02-04</t>
  </si>
  <si>
    <t>02-05</t>
  </si>
  <si>
    <t>03-01</t>
  </si>
  <si>
    <t>03-02</t>
  </si>
  <si>
    <t>03-03</t>
  </si>
  <si>
    <t>Participation à la mise en place de l'organisation de la gestion des déchets (y compris visite de chantier spécifique au contrôle de la mise en œuvre de l'organisation de la collecte des déchets)</t>
  </si>
  <si>
    <t>Bilan de chantier spécifique "Déchets"</t>
  </si>
  <si>
    <t>Avis sur les contrôles</t>
  </si>
  <si>
    <t>Sous-détail des prix forfaitaires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</si>
</sst>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 applyProtection="1">
      <alignment horizontal="center" vertical="center" wrapText="1"/>
      <protection locked="0"/>
    </xf>
    <xf numFmtId="164" fontId="8" fillId="6" borderId="1" xfId="0" applyNumberFormat="1" applyFont="1" applyFill="1" applyBorder="1" applyAlignment="1" applyProtection="1">
      <alignment vertical="center" wrapText="1"/>
      <protection locked="0"/>
    </xf>
    <xf numFmtId="0" fontId="8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 applyProtection="1">
      <alignment horizontal="center" vertical="center" wrapText="1"/>
      <protection locked="0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164" fontId="8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hidden="1"/>
    </xf>
    <xf numFmtId="164" fontId="8" fillId="8" borderId="1" xfId="0" applyNumberFormat="1" applyFont="1" applyFill="1" applyBorder="1" applyAlignment="1">
      <alignment horizontal="center" vertical="center" wrapText="1"/>
    </xf>
    <xf numFmtId="0" fontId="8" fillId="6" borderId="13" xfId="0" applyFont="1" applyFill="1" applyBorder="1" applyAlignment="1" applyProtection="1">
      <alignment horizontal="center" vertical="center" wrapText="1"/>
      <protection locked="0"/>
    </xf>
    <xf numFmtId="164" fontId="8" fillId="8" borderId="13" xfId="0" applyNumberFormat="1" applyFont="1" applyFill="1" applyBorder="1" applyAlignment="1">
      <alignment horizontal="center" vertical="center" wrapText="1"/>
    </xf>
    <xf numFmtId="164" fontId="8" fillId="6" borderId="13" xfId="0" applyNumberFormat="1" applyFont="1" applyFill="1" applyBorder="1" applyAlignment="1" applyProtection="1">
      <alignment horizontal="center" vertical="center" wrapText="1"/>
      <protection locked="0"/>
    </xf>
    <xf numFmtId="0" fontId="8" fillId="8" borderId="19" xfId="0" applyFont="1" applyFill="1" applyBorder="1" applyAlignment="1" applyProtection="1">
      <alignment horizontal="center" vertical="center" wrapText="1"/>
      <protection locked="0"/>
    </xf>
    <xf numFmtId="164" fontId="8" fillId="8" borderId="19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 applyProtection="1">
      <alignment horizontal="center" vertical="center" wrapText="1"/>
      <protection locked="0"/>
    </xf>
    <xf numFmtId="164" fontId="1" fillId="2" borderId="19" xfId="0" applyNumberFormat="1" applyFont="1" applyFill="1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  <xf numFmtId="0" fontId="12" fillId="4" borderId="16" xfId="0" applyFont="1" applyFill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 wrapText="1"/>
      <protection hidden="1"/>
    </xf>
    <xf numFmtId="0" fontId="10" fillId="7" borderId="1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5" fillId="7" borderId="11" xfId="0" applyFont="1" applyFill="1" applyBorder="1" applyAlignment="1">
      <alignment horizontal="left" vertical="center" wrapText="1"/>
    </xf>
    <xf numFmtId="0" fontId="5" fillId="7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820164</xdr:colOff>
      <xdr:row>1</xdr:row>
      <xdr:rowOff>45357</xdr:rowOff>
    </xdr:from>
    <xdr:to>
      <xdr:col>17</xdr:col>
      <xdr:colOff>1391496</xdr:colOff>
      <xdr:row>6</xdr:row>
      <xdr:rowOff>21682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F79024A-3175-4777-96A6-1517F6658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6429" y="2230504"/>
          <a:ext cx="2259386" cy="1690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3E79-654F-49EE-90B9-C3930191F372}">
  <sheetPr>
    <pageSetUpPr fitToPage="1"/>
  </sheetPr>
  <dimension ref="A1:R28"/>
  <sheetViews>
    <sheetView showGridLines="0" tabSelected="1" topLeftCell="A4" zoomScale="85" zoomScaleNormal="85" zoomScaleSheetLayoutView="70" workbookViewId="0">
      <selection activeCell="G21" activeCellId="1" sqref="I21 G21"/>
    </sheetView>
  </sheetViews>
  <sheetFormatPr baseColWidth="10" defaultRowHeight="14.4" x14ac:dyDescent="0.3"/>
  <cols>
    <col min="1" max="1" width="10.6640625" customWidth="1"/>
    <col min="2" max="2" width="12.6640625" customWidth="1"/>
    <col min="3" max="3" width="30.6640625" customWidth="1"/>
    <col min="4" max="4" width="12.6640625" customWidth="1"/>
    <col min="5" max="5" width="10.6640625" customWidth="1"/>
    <col min="6" max="6" width="12.6640625" customWidth="1"/>
    <col min="7" max="7" width="10.6640625" customWidth="1"/>
    <col min="8" max="8" width="12.6640625" customWidth="1"/>
    <col min="9" max="9" width="10.6640625" customWidth="1"/>
    <col min="10" max="10" width="12.6640625" customWidth="1"/>
    <col min="11" max="11" width="10.6640625" customWidth="1"/>
    <col min="12" max="12" width="12.6640625" customWidth="1"/>
    <col min="13" max="13" width="10.6640625" customWidth="1"/>
    <col min="14" max="14" width="12.6640625" customWidth="1"/>
    <col min="15" max="15" width="10.6640625" customWidth="1"/>
    <col min="16" max="17" width="12.6640625" customWidth="1"/>
    <col min="18" max="18" width="20.6640625" customWidth="1"/>
    <col min="19" max="19" width="17.6640625" customWidth="1"/>
  </cols>
  <sheetData>
    <row r="1" spans="1:18" s="1" customFormat="1" ht="15" customHeight="1" x14ac:dyDescent="0.3"/>
    <row r="2" spans="1:18" ht="45" customHeight="1" x14ac:dyDescent="0.3">
      <c r="B2" s="38" t="s">
        <v>14</v>
      </c>
      <c r="C2" s="3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8" ht="15" customHeight="1" x14ac:dyDescent="0.3">
      <c r="B3" s="1"/>
      <c r="C3" s="1"/>
      <c r="D3" s="1"/>
      <c r="E3" s="1"/>
    </row>
    <row r="4" spans="1:18" ht="30" customHeight="1" x14ac:dyDescent="0.3">
      <c r="B4" s="39" t="s">
        <v>23</v>
      </c>
      <c r="C4" s="39"/>
      <c r="D4" s="3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30" customHeight="1" x14ac:dyDescent="0.3">
      <c r="B5" s="3" t="s">
        <v>0</v>
      </c>
      <c r="C5" s="3" t="s">
        <v>1</v>
      </c>
      <c r="D5" s="3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5"/>
    </row>
    <row r="6" spans="1:18" ht="15" customHeight="1" x14ac:dyDescent="0.3">
      <c r="B6" s="6" t="s">
        <v>2</v>
      </c>
      <c r="C6" s="25" t="s">
        <v>3</v>
      </c>
      <c r="D6" s="8">
        <v>800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0"/>
      <c r="R6" s="11"/>
    </row>
    <row r="7" spans="1:18" ht="15" customHeight="1" x14ac:dyDescent="0.3">
      <c r="B7" s="6" t="s">
        <v>4</v>
      </c>
      <c r="C7" s="25" t="s">
        <v>10</v>
      </c>
      <c r="D7" s="8">
        <v>750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0"/>
      <c r="R7" s="11"/>
    </row>
    <row r="8" spans="1:18" ht="15" customHeight="1" x14ac:dyDescent="0.3">
      <c r="B8" s="6" t="s">
        <v>5</v>
      </c>
      <c r="C8" s="25" t="s">
        <v>11</v>
      </c>
      <c r="D8" s="8">
        <v>700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/>
      <c r="R8" s="11"/>
    </row>
    <row r="9" spans="1:18" ht="15" customHeight="1" x14ac:dyDescent="0.3">
      <c r="B9" s="6" t="s">
        <v>6</v>
      </c>
      <c r="C9" s="25" t="s">
        <v>13</v>
      </c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1"/>
    </row>
    <row r="10" spans="1:18" ht="15" customHeight="1" x14ac:dyDescent="0.3">
      <c r="B10" s="6" t="s">
        <v>7</v>
      </c>
      <c r="C10" s="25" t="s">
        <v>12</v>
      </c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/>
      <c r="R10" s="11"/>
    </row>
    <row r="11" spans="1:18" ht="15" customHeight="1" x14ac:dyDescent="0.3">
      <c r="B11" s="6" t="s">
        <v>8</v>
      </c>
      <c r="C11" s="7" t="s">
        <v>9</v>
      </c>
      <c r="D11" s="8"/>
      <c r="E11" s="1"/>
    </row>
    <row r="12" spans="1:18" ht="15" customHeight="1" x14ac:dyDescent="0.3">
      <c r="B12" s="12"/>
      <c r="C12" s="13"/>
      <c r="D12" s="14"/>
      <c r="E12" s="14"/>
      <c r="F12" s="15"/>
    </row>
    <row r="13" spans="1:18" ht="30" customHeight="1" x14ac:dyDescent="0.3">
      <c r="B13" s="39" t="s">
        <v>40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</row>
    <row r="14" spans="1:18" ht="30" customHeight="1" x14ac:dyDescent="0.3">
      <c r="A14" s="30" t="s">
        <v>18</v>
      </c>
      <c r="B14" s="44" t="s">
        <v>17</v>
      </c>
      <c r="C14" s="45"/>
      <c r="D14" s="46"/>
      <c r="E14" s="40" t="str">
        <f>C6</f>
        <v>Directeur de Projet</v>
      </c>
      <c r="F14" s="41"/>
      <c r="G14" s="40" t="str">
        <f>C7</f>
        <v>Chef de projet</v>
      </c>
      <c r="H14" s="40"/>
      <c r="I14" s="40" t="str">
        <f>C8</f>
        <v>Ingénieur d'affaire</v>
      </c>
      <c r="J14" s="41"/>
      <c r="K14" s="40" t="str">
        <f>$C$9</f>
        <v>Projeteur</v>
      </c>
      <c r="L14" s="41"/>
      <c r="M14" s="40" t="str">
        <f>$C$10</f>
        <v>Secrétaire</v>
      </c>
      <c r="N14" s="41"/>
      <c r="O14" s="40" t="str">
        <f>C11</f>
        <v>à définir par le candidat</v>
      </c>
      <c r="P14" s="41"/>
      <c r="Q14" s="42" t="s">
        <v>20</v>
      </c>
      <c r="R14" s="42" t="s">
        <v>21</v>
      </c>
    </row>
    <row r="15" spans="1:18" ht="30" customHeight="1" x14ac:dyDescent="0.3">
      <c r="A15" s="31"/>
      <c r="B15" s="47"/>
      <c r="C15" s="48"/>
      <c r="D15" s="49"/>
      <c r="E15" s="18" t="s">
        <v>16</v>
      </c>
      <c r="F15" s="18" t="s">
        <v>15</v>
      </c>
      <c r="G15" s="18" t="s">
        <v>16</v>
      </c>
      <c r="H15" s="18" t="s">
        <v>15</v>
      </c>
      <c r="I15" s="18" t="s">
        <v>16</v>
      </c>
      <c r="J15" s="18" t="s">
        <v>15</v>
      </c>
      <c r="K15" s="18" t="s">
        <v>16</v>
      </c>
      <c r="L15" s="18" t="s">
        <v>15</v>
      </c>
      <c r="M15" s="18" t="s">
        <v>16</v>
      </c>
      <c r="N15" s="18" t="s">
        <v>15</v>
      </c>
      <c r="O15" s="18" t="s">
        <v>16</v>
      </c>
      <c r="P15" s="18" t="s">
        <v>15</v>
      </c>
      <c r="Q15" s="43"/>
      <c r="R15" s="43"/>
    </row>
    <row r="16" spans="1:18" ht="45" customHeight="1" x14ac:dyDescent="0.3">
      <c r="A16" s="27" t="s">
        <v>24</v>
      </c>
      <c r="B16" s="32" t="s">
        <v>25</v>
      </c>
      <c r="C16" s="33"/>
      <c r="D16" s="34"/>
      <c r="E16" s="16"/>
      <c r="F16" s="19">
        <f>E16*$D$6</f>
        <v>0</v>
      </c>
      <c r="G16" s="16">
        <v>0.5</v>
      </c>
      <c r="H16" s="19">
        <f>G16*$D$7</f>
        <v>375</v>
      </c>
      <c r="I16" s="16">
        <v>0.5</v>
      </c>
      <c r="J16" s="19">
        <f>I16*$D$8</f>
        <v>350</v>
      </c>
      <c r="K16" s="16"/>
      <c r="L16" s="19">
        <f>K16*$D$9</f>
        <v>0</v>
      </c>
      <c r="M16" s="16"/>
      <c r="N16" s="19">
        <f>M16*$D$10</f>
        <v>0</v>
      </c>
      <c r="O16" s="16"/>
      <c r="P16" s="19">
        <f>O16*$D$11</f>
        <v>0</v>
      </c>
      <c r="Q16" s="17"/>
      <c r="R16" s="19">
        <f>F16+H16+J16+L16+N16+P16+Q16</f>
        <v>725</v>
      </c>
    </row>
    <row r="17" spans="1:18" ht="45" customHeight="1" x14ac:dyDescent="0.3">
      <c r="A17" s="27" t="s">
        <v>30</v>
      </c>
      <c r="B17" s="32" t="s">
        <v>26</v>
      </c>
      <c r="C17" s="33"/>
      <c r="D17" s="34"/>
      <c r="E17" s="16"/>
      <c r="F17" s="19">
        <f t="shared" ref="F17:F22" si="0">E17*$D$6</f>
        <v>0</v>
      </c>
      <c r="G17" s="16"/>
      <c r="H17" s="19">
        <f t="shared" ref="H17:H22" si="1">G17*$D$7</f>
        <v>0</v>
      </c>
      <c r="I17" s="16">
        <v>1</v>
      </c>
      <c r="J17" s="19">
        <f t="shared" ref="J17:J22" si="2">I17*$D$8</f>
        <v>700</v>
      </c>
      <c r="K17" s="16"/>
      <c r="L17" s="19">
        <f t="shared" ref="L17:L22" si="3">K17*$D$9</f>
        <v>0</v>
      </c>
      <c r="M17" s="16"/>
      <c r="N17" s="19">
        <f t="shared" ref="N17:N22" si="4">M17*$D$10</f>
        <v>0</v>
      </c>
      <c r="O17" s="16"/>
      <c r="P17" s="19">
        <f t="shared" ref="P17:P22" si="5">O17*$D$11</f>
        <v>0</v>
      </c>
      <c r="Q17" s="17"/>
      <c r="R17" s="19">
        <f t="shared" ref="R17:R21" si="6">F17+H17+J17+L17+N17+P17+Q17</f>
        <v>700</v>
      </c>
    </row>
    <row r="18" spans="1:18" ht="45" customHeight="1" x14ac:dyDescent="0.3">
      <c r="A18" s="27" t="s">
        <v>31</v>
      </c>
      <c r="B18" s="32" t="s">
        <v>27</v>
      </c>
      <c r="C18" s="33"/>
      <c r="D18" s="34"/>
      <c r="E18" s="16"/>
      <c r="F18" s="19">
        <f t="shared" si="0"/>
        <v>0</v>
      </c>
      <c r="G18" s="16">
        <v>0.5</v>
      </c>
      <c r="H18" s="19">
        <f t="shared" si="1"/>
        <v>375</v>
      </c>
      <c r="I18" s="16">
        <v>1</v>
      </c>
      <c r="J18" s="19">
        <f t="shared" si="2"/>
        <v>700</v>
      </c>
      <c r="K18" s="16"/>
      <c r="L18" s="19">
        <f t="shared" si="3"/>
        <v>0</v>
      </c>
      <c r="M18" s="16"/>
      <c r="N18" s="19">
        <f t="shared" si="4"/>
        <v>0</v>
      </c>
      <c r="O18" s="16"/>
      <c r="P18" s="19">
        <f t="shared" si="5"/>
        <v>0</v>
      </c>
      <c r="Q18" s="17"/>
      <c r="R18" s="19">
        <f t="shared" si="6"/>
        <v>1075</v>
      </c>
    </row>
    <row r="19" spans="1:18" ht="45" customHeight="1" x14ac:dyDescent="0.3">
      <c r="A19" s="27" t="s">
        <v>32</v>
      </c>
      <c r="B19" s="32" t="s">
        <v>28</v>
      </c>
      <c r="C19" s="33"/>
      <c r="D19" s="34"/>
      <c r="E19" s="16"/>
      <c r="F19" s="19">
        <f t="shared" si="0"/>
        <v>0</v>
      </c>
      <c r="G19" s="16">
        <v>0.2</v>
      </c>
      <c r="H19" s="19">
        <f t="shared" si="1"/>
        <v>150</v>
      </c>
      <c r="I19" s="16">
        <v>1</v>
      </c>
      <c r="J19" s="19">
        <f t="shared" si="2"/>
        <v>700</v>
      </c>
      <c r="K19" s="16"/>
      <c r="L19" s="19">
        <f t="shared" si="3"/>
        <v>0</v>
      </c>
      <c r="M19" s="16"/>
      <c r="N19" s="19">
        <f t="shared" si="4"/>
        <v>0</v>
      </c>
      <c r="O19" s="16"/>
      <c r="P19" s="19">
        <f t="shared" si="5"/>
        <v>0</v>
      </c>
      <c r="Q19" s="17"/>
      <c r="R19" s="19">
        <f t="shared" si="6"/>
        <v>850</v>
      </c>
    </row>
    <row r="20" spans="1:18" ht="45" customHeight="1" x14ac:dyDescent="0.3">
      <c r="A20" s="27" t="s">
        <v>33</v>
      </c>
      <c r="B20" s="32" t="s">
        <v>29</v>
      </c>
      <c r="C20" s="33"/>
      <c r="D20" s="34"/>
      <c r="E20" s="16"/>
      <c r="F20" s="19">
        <f t="shared" si="0"/>
        <v>0</v>
      </c>
      <c r="G20" s="16">
        <v>0.2</v>
      </c>
      <c r="H20" s="19">
        <f t="shared" si="1"/>
        <v>150</v>
      </c>
      <c r="I20" s="16">
        <v>2</v>
      </c>
      <c r="J20" s="19">
        <f t="shared" si="2"/>
        <v>1400</v>
      </c>
      <c r="K20" s="16"/>
      <c r="L20" s="19">
        <f t="shared" si="3"/>
        <v>0</v>
      </c>
      <c r="M20" s="16"/>
      <c r="N20" s="19">
        <f t="shared" si="4"/>
        <v>0</v>
      </c>
      <c r="O20" s="16"/>
      <c r="P20" s="19">
        <f t="shared" si="5"/>
        <v>0</v>
      </c>
      <c r="Q20" s="17"/>
      <c r="R20" s="19">
        <f t="shared" si="6"/>
        <v>1550</v>
      </c>
    </row>
    <row r="21" spans="1:18" ht="45" customHeight="1" x14ac:dyDescent="0.3">
      <c r="A21" s="27" t="s">
        <v>34</v>
      </c>
      <c r="B21" s="32" t="s">
        <v>37</v>
      </c>
      <c r="C21" s="33"/>
      <c r="D21" s="34"/>
      <c r="E21" s="16"/>
      <c r="F21" s="19">
        <f t="shared" si="0"/>
        <v>0</v>
      </c>
      <c r="G21" s="16">
        <v>0.5</v>
      </c>
      <c r="H21" s="19">
        <f t="shared" si="1"/>
        <v>375</v>
      </c>
      <c r="I21" s="16">
        <v>0.75</v>
      </c>
      <c r="J21" s="19">
        <f t="shared" si="2"/>
        <v>525</v>
      </c>
      <c r="K21" s="16"/>
      <c r="L21" s="19">
        <f t="shared" si="3"/>
        <v>0</v>
      </c>
      <c r="M21" s="16"/>
      <c r="N21" s="19">
        <f t="shared" si="4"/>
        <v>0</v>
      </c>
      <c r="O21" s="16"/>
      <c r="P21" s="19">
        <f t="shared" si="5"/>
        <v>0</v>
      </c>
      <c r="Q21" s="17"/>
      <c r="R21" s="19">
        <f t="shared" si="6"/>
        <v>900</v>
      </c>
    </row>
    <row r="22" spans="1:18" ht="45" customHeight="1" x14ac:dyDescent="0.3">
      <c r="A22" s="27" t="s">
        <v>35</v>
      </c>
      <c r="B22" s="32" t="s">
        <v>39</v>
      </c>
      <c r="C22" s="33"/>
      <c r="D22" s="34"/>
      <c r="E22" s="16"/>
      <c r="F22" s="19">
        <f t="shared" si="0"/>
        <v>0</v>
      </c>
      <c r="G22" s="16">
        <v>0.2</v>
      </c>
      <c r="H22" s="19">
        <f t="shared" si="1"/>
        <v>150</v>
      </c>
      <c r="I22" s="16">
        <v>0.8</v>
      </c>
      <c r="J22" s="19">
        <f t="shared" si="2"/>
        <v>560</v>
      </c>
      <c r="K22" s="16"/>
      <c r="L22" s="19">
        <f t="shared" si="3"/>
        <v>0</v>
      </c>
      <c r="M22" s="16"/>
      <c r="N22" s="19">
        <f t="shared" si="4"/>
        <v>0</v>
      </c>
      <c r="O22" s="16"/>
      <c r="P22" s="19">
        <f t="shared" si="5"/>
        <v>0</v>
      </c>
      <c r="Q22" s="17"/>
      <c r="R22" s="19">
        <f t="shared" ref="R22" si="7">F22+H22+J22+L22+N22+P22+Q22</f>
        <v>710</v>
      </c>
    </row>
    <row r="23" spans="1:18" ht="45" customHeight="1" thickBot="1" x14ac:dyDescent="0.35">
      <c r="A23" s="27" t="s">
        <v>36</v>
      </c>
      <c r="B23" s="35" t="s">
        <v>38</v>
      </c>
      <c r="C23" s="36"/>
      <c r="D23" s="37"/>
      <c r="E23" s="20"/>
      <c r="F23" s="21">
        <f>E23*$D$6</f>
        <v>0</v>
      </c>
      <c r="G23" s="20">
        <v>0.2</v>
      </c>
      <c r="H23" s="21">
        <f>G23*$D$7</f>
        <v>150</v>
      </c>
      <c r="I23" s="20">
        <v>0.8</v>
      </c>
      <c r="J23" s="21">
        <f>I23*$D$8</f>
        <v>560</v>
      </c>
      <c r="K23" s="20"/>
      <c r="L23" s="21">
        <f>K23*$D$9</f>
        <v>0</v>
      </c>
      <c r="M23" s="20"/>
      <c r="N23" s="21">
        <f>M23*$D$10</f>
        <v>0</v>
      </c>
      <c r="O23" s="20"/>
      <c r="P23" s="21">
        <f>O23*$D$11</f>
        <v>0</v>
      </c>
      <c r="Q23" s="22"/>
      <c r="R23" s="21">
        <f>F23+H23+J23+L23+N23+P23+Q23</f>
        <v>710</v>
      </c>
    </row>
    <row r="24" spans="1:18" ht="45" customHeight="1" thickTop="1" x14ac:dyDescent="0.3">
      <c r="A24" s="28" t="s">
        <v>22</v>
      </c>
      <c r="B24" s="29"/>
      <c r="C24" s="29"/>
      <c r="D24" s="29"/>
      <c r="E24" s="23">
        <f t="shared" ref="E24:Q24" si="8">SUM(E16:E23)</f>
        <v>0</v>
      </c>
      <c r="F24" s="24">
        <f t="shared" si="8"/>
        <v>0</v>
      </c>
      <c r="G24" s="23">
        <f t="shared" si="8"/>
        <v>2.3000000000000003</v>
      </c>
      <c r="H24" s="24">
        <f t="shared" si="8"/>
        <v>1725</v>
      </c>
      <c r="I24" s="23">
        <f t="shared" si="8"/>
        <v>7.85</v>
      </c>
      <c r="J24" s="24">
        <f t="shared" si="8"/>
        <v>5495</v>
      </c>
      <c r="K24" s="23">
        <f t="shared" si="8"/>
        <v>0</v>
      </c>
      <c r="L24" s="24">
        <f t="shared" si="8"/>
        <v>0</v>
      </c>
      <c r="M24" s="23">
        <f t="shared" si="8"/>
        <v>0</v>
      </c>
      <c r="N24" s="24">
        <f t="shared" si="8"/>
        <v>0</v>
      </c>
      <c r="O24" s="23">
        <f t="shared" si="8"/>
        <v>0</v>
      </c>
      <c r="P24" s="24">
        <f t="shared" si="8"/>
        <v>0</v>
      </c>
      <c r="Q24" s="24">
        <f t="shared" si="8"/>
        <v>0</v>
      </c>
      <c r="R24" s="26">
        <f>SUM(R16:R23)</f>
        <v>7220</v>
      </c>
    </row>
    <row r="25" spans="1:18" ht="35.25" customHeight="1" x14ac:dyDescent="0.3">
      <c r="B25" s="1"/>
      <c r="C25" s="1"/>
      <c r="D25" s="1"/>
      <c r="E25" s="1"/>
    </row>
    <row r="26" spans="1:18" ht="64.5" customHeight="1" x14ac:dyDescent="0.3">
      <c r="B26" s="1"/>
      <c r="C26" s="1"/>
      <c r="D26" s="1"/>
      <c r="E26" s="1"/>
    </row>
    <row r="28" spans="1:18" ht="21" customHeight="1" x14ac:dyDescent="0.3"/>
  </sheetData>
  <sheetProtection formatCells="0" formatColumns="0" formatRows="0" insertColumns="0"/>
  <mergeCells count="22">
    <mergeCell ref="B2:C2"/>
    <mergeCell ref="B4:D4"/>
    <mergeCell ref="B13:R13"/>
    <mergeCell ref="M14:N14"/>
    <mergeCell ref="O14:P14"/>
    <mergeCell ref="Q14:Q15"/>
    <mergeCell ref="R14:R15"/>
    <mergeCell ref="E14:F14"/>
    <mergeCell ref="G14:H14"/>
    <mergeCell ref="I14:J14"/>
    <mergeCell ref="K14:L14"/>
    <mergeCell ref="B14:D15"/>
    <mergeCell ref="A24:D24"/>
    <mergeCell ref="A14:A15"/>
    <mergeCell ref="B16:D16"/>
    <mergeCell ref="B23:D23"/>
    <mergeCell ref="B17:D17"/>
    <mergeCell ref="B18:D18"/>
    <mergeCell ref="B19:D19"/>
    <mergeCell ref="B20:D20"/>
    <mergeCell ref="B21:D21"/>
    <mergeCell ref="B22:D22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54" orientation="landscape" r:id="rId1"/>
  <headerFooter>
    <oddHeader>&amp;C&amp;"-,Italique"Travaux de réparation et d'entretien du quai du port de la Gare
AMO Suivi Environnemental</oddHeader>
    <oddFooter>&amp;C&amp;"-,Italique"&amp;A&amp;R&amp;P/&amp;N</oddFooter>
  </headerFooter>
  <ignoredErrors>
    <ignoredError sqref="E24 G24 I24 K24 M24 O24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sous-détail</vt:lpstr>
      <vt:lpstr>AE_Annexe1_BPU</vt:lpstr>
      <vt:lpstr>Annexe4_RC_DQE</vt:lpstr>
      <vt:lpstr>'sous-détail'!Zone_d_impression</vt:lpstr>
    </vt:vector>
  </TitlesOfParts>
  <Company>PAP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BRANDEL Véronique</dc:creator>
  <cp:lastModifiedBy>Estelle LAINE</cp:lastModifiedBy>
  <cp:lastPrinted>2025-07-01T07:18:29Z</cp:lastPrinted>
  <dcterms:created xsi:type="dcterms:W3CDTF">2022-12-15T12:50:00Z</dcterms:created>
  <dcterms:modified xsi:type="dcterms:W3CDTF">2025-07-25T07:07:36Z</dcterms:modified>
</cp:coreProperties>
</file>