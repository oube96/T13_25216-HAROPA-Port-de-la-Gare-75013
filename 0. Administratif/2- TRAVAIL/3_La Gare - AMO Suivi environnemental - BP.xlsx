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T:\ESSOR TRANSITIONS\01 - COMMERCE\02_PROPOSITIONS COMMERCIALES\T13_25216 - HAROPA_Port de la Gare (75013)\2- TRAVAIL\"/>
    </mc:Choice>
  </mc:AlternateContent>
  <xr:revisionPtr revIDLastSave="0" documentId="13_ncr:1_{E3271E85-208C-48E7-BDB8-558C7DD7BA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P" sheetId="63" r:id="rId1"/>
  </sheets>
  <definedNames>
    <definedName name="cco">#REF!</definedName>
    <definedName name="DetailLigne1">#REF!</definedName>
    <definedName name="DetailLigne2">#REF!</definedName>
    <definedName name="DetailLigne3">#REF!</definedName>
    <definedName name="_xlnm.Print_Titles" localSheetId="0">BP!$1:$1</definedName>
    <definedName name="OffreColonne1">#REF!</definedName>
    <definedName name="OffreColonne2">#REF!</definedName>
    <definedName name="OffreColonne3">#REF!</definedName>
    <definedName name="_xlnm.Print_Area" localSheetId="0">BP!$A$1:$F$17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63" l="1"/>
  <c r="F13" i="63"/>
  <c r="F12" i="63"/>
  <c r="F10" i="63"/>
  <c r="F9" i="63"/>
  <c r="F8" i="63"/>
  <c r="F7" i="63"/>
  <c r="F6" i="63"/>
  <c r="F4" i="63"/>
  <c r="F3" i="63"/>
  <c r="F2" i="63" l="1"/>
  <c r="F5" i="63"/>
  <c r="F11" i="63"/>
  <c r="F15" i="63" l="1"/>
  <c r="F16" i="63" l="1"/>
  <c r="F17" i="63" s="1"/>
</calcChain>
</file>

<file path=xl/sharedStrings.xml><?xml version="1.0" encoding="utf-8"?>
<sst xmlns="http://schemas.openxmlformats.org/spreadsheetml/2006/main" count="43" uniqueCount="34">
  <si>
    <t>Libellé</t>
  </si>
  <si>
    <t>Unité</t>
  </si>
  <si>
    <t>Prix Unitaire</t>
  </si>
  <si>
    <t>Montant H.T.</t>
  </si>
  <si>
    <t>Montant T.V.A.</t>
  </si>
  <si>
    <t>Montant T.T.C.</t>
  </si>
  <si>
    <t>Ft</t>
  </si>
  <si>
    <t>U</t>
  </si>
  <si>
    <t>3-01</t>
  </si>
  <si>
    <t>2-01</t>
  </si>
  <si>
    <t>2-02</t>
  </si>
  <si>
    <t>2-03</t>
  </si>
  <si>
    <t>1-01</t>
  </si>
  <si>
    <t>1-02</t>
  </si>
  <si>
    <t>3-02</t>
  </si>
  <si>
    <t>N° de
Prix</t>
  </si>
  <si>
    <t>3-03</t>
  </si>
  <si>
    <t>Quantités</t>
  </si>
  <si>
    <t>Suivi environnemental pendant les travaux</t>
  </si>
  <si>
    <t>Réunion de lancement des travaux</t>
  </si>
  <si>
    <t>Gestion des déchets de chantier</t>
  </si>
  <si>
    <t>2-04</t>
  </si>
  <si>
    <t>2-05</t>
  </si>
  <si>
    <t>Réunion et visites</t>
  </si>
  <si>
    <t>Etablissement du plan de contrôles</t>
  </si>
  <si>
    <t>VISAS des documents d'exécution (établis par l'entreprise et ses sous-traitants)</t>
  </si>
  <si>
    <t xml:space="preserve">Etablissement et mise à jour d'un tableau de bord de restitution </t>
  </si>
  <si>
    <t>Etablissement du rapport final</t>
  </si>
  <si>
    <t>Réalisation et/ou pilotage des contrôles, établissement des procès-verbaux</t>
  </si>
  <si>
    <t>Bilan de chantier spécifique "Déchets"</t>
  </si>
  <si>
    <t>Avis sur les contrôles</t>
  </si>
  <si>
    <t>Visite de chantier pendant les travaux (2 visites par mois pendant 4 mois), y compris établissement du compte-rendu de visite</t>
  </si>
  <si>
    <t>Participation à la mise en place de l'organisation de la gestion des déchets,
(y compris visite de chantier spécifique au contrôle de la mise en œuvre de l'organisation de la collecte des déchets)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</si>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</sst>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1]_-;\-* #,##0.00\ [$€-1]_-;_-* &quot;-&quot;??\ [$€-1]_-"/>
    <numFmt numFmtId="165" formatCode="#,##0.00_ ;\-#,##0.00\ 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right" vertical="center" wrapText="1"/>
    </xf>
    <xf numFmtId="165" fontId="2" fillId="2" borderId="2" xfId="1" applyNumberFormat="1" applyFont="1" applyFill="1" applyBorder="1" applyAlignment="1" applyProtection="1">
      <alignment horizontal="center" vertical="center" wrapText="1"/>
    </xf>
    <xf numFmtId="16" fontId="1" fillId="0" borderId="3" xfId="0" quotePrefix="1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165" fontId="1" fillId="0" borderId="3" xfId="1" applyNumberFormat="1" applyFont="1" applyFill="1" applyBorder="1" applyAlignment="1" applyProtection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165" fontId="1" fillId="0" borderId="4" xfId="1" applyNumberFormat="1" applyFont="1" applyFill="1" applyBorder="1" applyAlignment="1" applyProtection="1">
      <alignment horizontal="right" vertical="center" wrapText="1"/>
    </xf>
    <xf numFmtId="49" fontId="1" fillId="0" borderId="3" xfId="0" quotePrefix="1" applyNumberFormat="1" applyFont="1" applyBorder="1" applyAlignment="1">
      <alignment horizontal="center" vertical="center" wrapText="1"/>
    </xf>
    <xf numFmtId="49" fontId="1" fillId="0" borderId="4" xfId="0" quotePrefix="1" applyNumberFormat="1" applyFont="1" applyBorder="1" applyAlignment="1">
      <alignment horizontal="center" vertical="center" wrapText="1"/>
    </xf>
    <xf numFmtId="165" fontId="2" fillId="0" borderId="7" xfId="1" applyNumberFormat="1" applyFont="1" applyFill="1" applyBorder="1" applyAlignment="1" applyProtection="1">
      <alignment horizontal="center" vertical="center" wrapText="1"/>
    </xf>
    <xf numFmtId="165" fontId="1" fillId="0" borderId="10" xfId="1" applyNumberFormat="1" applyFont="1" applyFill="1" applyBorder="1" applyAlignment="1" applyProtection="1">
      <alignment horizontal="center" vertical="center" wrapText="1"/>
    </xf>
    <xf numFmtId="165" fontId="2" fillId="0" borderId="13" xfId="1" applyNumberFormat="1" applyFont="1" applyFill="1" applyBorder="1" applyAlignment="1" applyProtection="1">
      <alignment horizontal="center" vertical="center" wrapText="1"/>
    </xf>
    <xf numFmtId="4" fontId="1" fillId="4" borderId="3" xfId="0" applyNumberFormat="1" applyFont="1" applyFill="1" applyBorder="1" applyAlignment="1" applyProtection="1">
      <alignment horizontal="right" vertical="center" wrapText="1"/>
      <protection locked="0"/>
    </xf>
    <xf numFmtId="4" fontId="1" fillId="4" borderId="4" xfId="0" applyNumberFormat="1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indent="1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3" xfId="0" applyFont="1" applyBorder="1" applyAlignment="1">
      <alignment horizontal="left" vertical="center" wrapText="1" indent="1"/>
    </xf>
    <xf numFmtId="0" fontId="1" fillId="0" borderId="3" xfId="0" quotePrefix="1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5" fontId="1" fillId="0" borderId="0" xfId="0" applyNumberFormat="1" applyFont="1" applyProtection="1">
      <protection locked="0"/>
    </xf>
    <xf numFmtId="43" fontId="1" fillId="0" borderId="0" xfId="4" applyFont="1" applyProtection="1">
      <protection locked="0"/>
    </xf>
    <xf numFmtId="10" fontId="1" fillId="0" borderId="0" xfId="5" applyNumberFormat="1" applyFont="1" applyProtection="1">
      <protection locked="0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</cellXfs>
  <cellStyles count="6">
    <cellStyle name="Euro" xfId="1" xr:uid="{00000000-0005-0000-0000-000000000000}"/>
    <cellStyle name="Milliers" xfId="4" builtinId="3"/>
    <cellStyle name="Monétaire 2" xfId="3" xr:uid="{00000000-0005-0000-0000-000001000000}"/>
    <cellStyle name="Normal" xfId="0" builtinId="0"/>
    <cellStyle name="Normal 2" xfId="2" xr:uid="{00000000-0005-0000-0000-000003000000}"/>
    <cellStyle name="Pourcentage" xfId="5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1B92-EDFA-4198-B095-9759CD66375D}">
  <sheetPr>
    <pageSetUpPr fitToPage="1"/>
  </sheetPr>
  <dimension ref="A1:K18"/>
  <sheetViews>
    <sheetView tabSelected="1" zoomScale="90" zoomScaleNormal="90" zoomScaleSheetLayoutView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5" sqref="K5"/>
    </sheetView>
  </sheetViews>
  <sheetFormatPr baseColWidth="10" defaultColWidth="11.44140625" defaultRowHeight="15" customHeight="1" x14ac:dyDescent="0.25"/>
  <cols>
    <col min="1" max="1" width="10.6640625" style="25" customWidth="1"/>
    <col min="2" max="2" width="70.6640625" style="25" customWidth="1"/>
    <col min="3" max="3" width="8.6640625" style="25" customWidth="1"/>
    <col min="4" max="4" width="10.6640625" style="25" customWidth="1"/>
    <col min="5" max="5" width="12.6640625" style="25" customWidth="1"/>
    <col min="6" max="6" width="15.6640625" style="25" customWidth="1"/>
    <col min="7" max="16384" width="11.44140625" style="25"/>
  </cols>
  <sheetData>
    <row r="1" spans="1:11" ht="30" customHeight="1" x14ac:dyDescent="0.25">
      <c r="A1" s="1" t="s">
        <v>15</v>
      </c>
      <c r="B1" s="2" t="s">
        <v>0</v>
      </c>
      <c r="C1" s="3" t="s">
        <v>1</v>
      </c>
      <c r="D1" s="1" t="s">
        <v>17</v>
      </c>
      <c r="E1" s="4" t="s">
        <v>2</v>
      </c>
      <c r="F1" s="4" t="s">
        <v>3</v>
      </c>
    </row>
    <row r="2" spans="1:11" ht="15" customHeight="1" x14ac:dyDescent="0.25">
      <c r="A2" s="5">
        <v>1</v>
      </c>
      <c r="B2" s="6" t="s">
        <v>23</v>
      </c>
      <c r="C2" s="7"/>
      <c r="D2" s="8"/>
      <c r="E2" s="9"/>
      <c r="F2" s="10">
        <f>SUBTOTAL(9,F3:F4)</f>
        <v>6300</v>
      </c>
    </row>
    <row r="3" spans="1:11" ht="15" customHeight="1" x14ac:dyDescent="0.25">
      <c r="A3" s="11" t="s">
        <v>12</v>
      </c>
      <c r="B3" s="30" t="s">
        <v>19</v>
      </c>
      <c r="C3" s="12" t="s">
        <v>7</v>
      </c>
      <c r="D3" s="13">
        <v>1</v>
      </c>
      <c r="E3" s="23">
        <v>700</v>
      </c>
      <c r="F3" s="14">
        <f>(E3*D3)</f>
        <v>700</v>
      </c>
    </row>
    <row r="4" spans="1:11" ht="30" customHeight="1" x14ac:dyDescent="0.25">
      <c r="A4" s="11" t="s">
        <v>13</v>
      </c>
      <c r="B4" s="30" t="s">
        <v>31</v>
      </c>
      <c r="C4" s="12" t="s">
        <v>7</v>
      </c>
      <c r="D4" s="13">
        <v>8</v>
      </c>
      <c r="E4" s="23">
        <v>700</v>
      </c>
      <c r="F4" s="14">
        <f>(E4*D4)</f>
        <v>5600</v>
      </c>
    </row>
    <row r="5" spans="1:11" ht="15" customHeight="1" x14ac:dyDescent="0.25">
      <c r="A5" s="5">
        <v>2</v>
      </c>
      <c r="B5" s="6" t="s">
        <v>18</v>
      </c>
      <c r="C5" s="7"/>
      <c r="D5" s="8"/>
      <c r="E5" s="9"/>
      <c r="F5" s="10">
        <f>SUBTOTAL(9,F6:F10)</f>
        <v>4900</v>
      </c>
    </row>
    <row r="6" spans="1:11" ht="15" customHeight="1" x14ac:dyDescent="0.25">
      <c r="A6" s="18" t="s">
        <v>9</v>
      </c>
      <c r="B6" s="30" t="s">
        <v>24</v>
      </c>
      <c r="C6" s="12" t="s">
        <v>6</v>
      </c>
      <c r="D6" s="13">
        <v>1</v>
      </c>
      <c r="E6" s="23">
        <v>725</v>
      </c>
      <c r="F6" s="14">
        <f>(E6*D6)</f>
        <v>725</v>
      </c>
    </row>
    <row r="7" spans="1:11" ht="15" customHeight="1" x14ac:dyDescent="0.25">
      <c r="A7" s="18" t="s">
        <v>10</v>
      </c>
      <c r="B7" s="30" t="s">
        <v>28</v>
      </c>
      <c r="C7" s="12" t="s">
        <v>6</v>
      </c>
      <c r="D7" s="13">
        <v>1</v>
      </c>
      <c r="E7" s="23">
        <v>700</v>
      </c>
      <c r="F7" s="14">
        <f>(E7*D7)</f>
        <v>700</v>
      </c>
    </row>
    <row r="8" spans="1:11" ht="15" customHeight="1" x14ac:dyDescent="0.25">
      <c r="A8" s="18" t="s">
        <v>11</v>
      </c>
      <c r="B8" s="30" t="s">
        <v>25</v>
      </c>
      <c r="C8" s="12" t="s">
        <v>6</v>
      </c>
      <c r="D8" s="13">
        <v>1</v>
      </c>
      <c r="E8" s="23">
        <v>1075</v>
      </c>
      <c r="F8" s="14">
        <f>(E8*D8)</f>
        <v>1075</v>
      </c>
      <c r="J8" s="37"/>
      <c r="K8" s="38"/>
    </row>
    <row r="9" spans="1:11" ht="15" customHeight="1" x14ac:dyDescent="0.25">
      <c r="A9" s="18" t="s">
        <v>21</v>
      </c>
      <c r="B9" s="30" t="s">
        <v>26</v>
      </c>
      <c r="C9" s="12" t="s">
        <v>6</v>
      </c>
      <c r="D9" s="13">
        <v>1</v>
      </c>
      <c r="E9" s="23">
        <v>850</v>
      </c>
      <c r="F9" s="14">
        <f>(E9*D9)</f>
        <v>850</v>
      </c>
      <c r="J9" s="38"/>
    </row>
    <row r="10" spans="1:11" ht="15" customHeight="1" x14ac:dyDescent="0.25">
      <c r="A10" s="18" t="s">
        <v>22</v>
      </c>
      <c r="B10" s="32" t="s">
        <v>27</v>
      </c>
      <c r="C10" s="15" t="s">
        <v>6</v>
      </c>
      <c r="D10" s="16">
        <v>1</v>
      </c>
      <c r="E10" s="24">
        <v>1550</v>
      </c>
      <c r="F10" s="17">
        <f>(E10*D10)</f>
        <v>1550</v>
      </c>
    </row>
    <row r="11" spans="1:11" ht="15" customHeight="1" x14ac:dyDescent="0.25">
      <c r="A11" s="5">
        <v>3</v>
      </c>
      <c r="B11" s="6" t="s">
        <v>20</v>
      </c>
      <c r="C11" s="7"/>
      <c r="D11" s="8"/>
      <c r="E11" s="9"/>
      <c r="F11" s="10">
        <f>SUBTOTAL(9,F12:F14)</f>
        <v>2320</v>
      </c>
    </row>
    <row r="12" spans="1:11" ht="39.6" x14ac:dyDescent="0.25">
      <c r="A12" s="18" t="s">
        <v>8</v>
      </c>
      <c r="B12" s="31" t="s">
        <v>32</v>
      </c>
      <c r="C12" s="12" t="s">
        <v>6</v>
      </c>
      <c r="D12" s="13">
        <v>1</v>
      </c>
      <c r="E12" s="23">
        <v>900</v>
      </c>
      <c r="F12" s="14">
        <f>(E12*D12)</f>
        <v>900</v>
      </c>
    </row>
    <row r="13" spans="1:11" ht="13.2" x14ac:dyDescent="0.25">
      <c r="A13" s="18" t="s">
        <v>14</v>
      </c>
      <c r="B13" s="31" t="s">
        <v>30</v>
      </c>
      <c r="C13" s="12" t="s">
        <v>6</v>
      </c>
      <c r="D13" s="13">
        <v>1</v>
      </c>
      <c r="E13" s="23">
        <v>710</v>
      </c>
      <c r="F13" s="14">
        <f>(E13*D13)</f>
        <v>710</v>
      </c>
    </row>
    <row r="14" spans="1:11" ht="15" customHeight="1" x14ac:dyDescent="0.25">
      <c r="A14" s="19" t="s">
        <v>16</v>
      </c>
      <c r="B14" s="32" t="s">
        <v>29</v>
      </c>
      <c r="C14" s="15" t="s">
        <v>6</v>
      </c>
      <c r="D14" s="16">
        <v>1</v>
      </c>
      <c r="E14" s="24">
        <v>710</v>
      </c>
      <c r="F14" s="17">
        <f>(E14*D14)</f>
        <v>710</v>
      </c>
    </row>
    <row r="15" spans="1:11" ht="15" customHeight="1" x14ac:dyDescent="0.25">
      <c r="A15" s="33"/>
      <c r="B15" s="34"/>
      <c r="C15" s="43" t="s">
        <v>3</v>
      </c>
      <c r="D15" s="44"/>
      <c r="E15" s="44"/>
      <c r="F15" s="20">
        <f>F2+F5+F11</f>
        <v>13520</v>
      </c>
      <c r="G15" s="36"/>
    </row>
    <row r="16" spans="1:11" ht="15" customHeight="1" x14ac:dyDescent="0.25">
      <c r="A16" s="33"/>
      <c r="B16" s="35"/>
      <c r="C16" s="41" t="s">
        <v>4</v>
      </c>
      <c r="D16" s="42"/>
      <c r="E16" s="42"/>
      <c r="F16" s="21">
        <f>F15*0.2</f>
        <v>2704</v>
      </c>
    </row>
    <row r="17" spans="1:6" ht="15" customHeight="1" x14ac:dyDescent="0.25">
      <c r="A17" s="33"/>
      <c r="B17" s="34"/>
      <c r="C17" s="39" t="s">
        <v>5</v>
      </c>
      <c r="D17" s="40"/>
      <c r="E17" s="40"/>
      <c r="F17" s="22">
        <f>F15+F16</f>
        <v>16224</v>
      </c>
    </row>
    <row r="18" spans="1:6" ht="15" customHeight="1" x14ac:dyDescent="0.25">
      <c r="A18" s="26"/>
      <c r="B18" s="27" t="s">
        <v>33</v>
      </c>
      <c r="C18" s="26"/>
      <c r="D18" s="28"/>
      <c r="E18" s="29"/>
      <c r="F18" s="29"/>
    </row>
  </sheetData>
  <mergeCells count="3">
    <mergeCell ref="C17:E17"/>
    <mergeCell ref="C16:E16"/>
    <mergeCell ref="C15:E15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&amp;C&amp;"Arial,Italique"Travaux de réparation et d'entretien du quai du port de la Gare
AMO Suivi Environnemental</oddHeader>
    <oddFooter>&amp;C&amp;"Arial,Italique"&amp;A&amp;RPage &amp;P/&amp;N</oddFooter>
  </headerFooter>
  <ignoredErrors>
    <ignoredError sqref="D11 F11 F16:F17 F2 F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BP</vt:lpstr>
      <vt:lpstr>BP!Impression_des_titres</vt:lpstr>
      <vt:lpstr>BP!Zone_d_impression</vt:lpstr>
    </vt:vector>
  </TitlesOfParts>
  <Company>AGYSOFT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Comparatif des offres</dc:title>
  <dc:creator>francois.borget@PARIS-PORTS.FR</dc:creator>
  <dc:description>Version 1.00</dc:description>
  <cp:lastModifiedBy>Estelle LAINE</cp:lastModifiedBy>
  <cp:revision>0</cp:revision>
  <cp:lastPrinted>2025-07-23T12:47:03Z</cp:lastPrinted>
  <dcterms:created xsi:type="dcterms:W3CDTF">2000-09-18T16:26:09Z</dcterms:created>
  <dcterms:modified xsi:type="dcterms:W3CDTF">2025-07-25T07:07:58Z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1.00</vt:lpwstr>
  </property>
</Properties>
</file>